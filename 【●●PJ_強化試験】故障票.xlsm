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故障管理表\"/>
    </mc:Choice>
  </mc:AlternateContent>
  <xr:revisionPtr revIDLastSave="0" documentId="13_ncr:1_{5B313ACC-D307-4648-B371-456B2F9842FD}" xr6:coauthVersionLast="47" xr6:coauthVersionMax="47" xr10:uidLastSave="{00000000-0000-0000-0000-000000000000}"/>
  <bookViews>
    <workbookView xWindow="-120" yWindow="-120" windowWidth="19515" windowHeight="11760" xr2:uid="{8CEED44B-FA4E-4E9A-993D-891953776781}"/>
  </bookViews>
  <sheets>
    <sheet name="故障票" sheetId="1" r:id="rId1"/>
    <sheet name="故障手順キャプチャ" sheetId="3" r:id="rId2"/>
    <sheet name="修正後確認キャプチャ" sheetId="4" r:id="rId3"/>
    <sheet name="設定シート" sheetId="2" r:id="rId4"/>
  </sheets>
  <functionGroups builtInGroupCount="19"/>
  <definedNames>
    <definedName name="_xlnm.Print_Area" localSheetId="0">故障票!$A$1:$AC$48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2" l="1"/>
  <c r="C2" i="2"/>
  <c r="C9" i="2"/>
  <c r="C13" i="2" l="1"/>
  <c r="C12" i="2"/>
  <c r="C11" i="2"/>
  <c r="C10" i="2"/>
  <c r="C8" i="2"/>
  <c r="C7" i="2"/>
</calcChain>
</file>

<file path=xl/sharedStrings.xml><?xml version="1.0" encoding="utf-8"?>
<sst xmlns="http://schemas.openxmlformats.org/spreadsheetml/2006/main" count="139" uniqueCount="124">
  <si>
    <t>報告内容</t>
    <rPh sb="0" eb="2">
      <t>ホウコク</t>
    </rPh>
    <rPh sb="2" eb="4">
      <t>ナイヨウ</t>
    </rPh>
    <phoneticPr fontId="3"/>
  </si>
  <si>
    <t>※自動採番</t>
    <phoneticPr fontId="3"/>
  </si>
  <si>
    <t>プロジェクト名</t>
    <rPh sb="6" eb="7">
      <t>メイ</t>
    </rPh>
    <phoneticPr fontId="3"/>
  </si>
  <si>
    <t>No.</t>
    <phoneticPr fontId="3"/>
  </si>
  <si>
    <t>ステータス</t>
    <phoneticPr fontId="3"/>
  </si>
  <si>
    <t>対応完了希望日</t>
    <rPh sb="0" eb="2">
      <t>タイオウ</t>
    </rPh>
    <rPh sb="2" eb="4">
      <t>カンリョウ</t>
    </rPh>
    <rPh sb="4" eb="7">
      <t>キボウビ</t>
    </rPh>
    <phoneticPr fontId="3"/>
  </si>
  <si>
    <t>対象画面</t>
    <rPh sb="0" eb="2">
      <t>タイショウ</t>
    </rPh>
    <rPh sb="2" eb="4">
      <t>ガメン</t>
    </rPh>
    <phoneticPr fontId="3"/>
  </si>
  <si>
    <t>重要度</t>
    <rPh sb="0" eb="3">
      <t>ジュウヨウド</t>
    </rPh>
    <phoneticPr fontId="3"/>
  </si>
  <si>
    <t>故障概要</t>
    <rPh sb="0" eb="2">
      <t>コショウ</t>
    </rPh>
    <rPh sb="2" eb="4">
      <t>ガイヨウ</t>
    </rPh>
    <phoneticPr fontId="3"/>
  </si>
  <si>
    <t>故障内容</t>
    <rPh sb="0" eb="2">
      <t>コショウ</t>
    </rPh>
    <rPh sb="2" eb="4">
      <t>ナイヨウ</t>
    </rPh>
    <phoneticPr fontId="3"/>
  </si>
  <si>
    <t>再現方法</t>
    <rPh sb="0" eb="2">
      <t>サイゲン</t>
    </rPh>
    <rPh sb="2" eb="4">
      <t>ホウホウ</t>
    </rPh>
    <phoneticPr fontId="3"/>
  </si>
  <si>
    <t>発見工程</t>
    <rPh sb="0" eb="2">
      <t>ハッケン</t>
    </rPh>
    <rPh sb="2" eb="4">
      <t>コウテイ</t>
    </rPh>
    <phoneticPr fontId="3"/>
  </si>
  <si>
    <t>故障・原因分析</t>
    <rPh sb="0" eb="2">
      <t>コショウ</t>
    </rPh>
    <rPh sb="3" eb="5">
      <t>ゲンイン</t>
    </rPh>
    <rPh sb="5" eb="7">
      <t>ブンセキ</t>
    </rPh>
    <phoneticPr fontId="3"/>
  </si>
  <si>
    <t>回答日</t>
    <rPh sb="0" eb="3">
      <t>カイトウビ</t>
    </rPh>
    <phoneticPr fontId="3"/>
  </si>
  <si>
    <t>回答者</t>
    <rPh sb="0" eb="2">
      <t>カイトウ</t>
    </rPh>
    <rPh sb="2" eb="3">
      <t>シャ</t>
    </rPh>
    <phoneticPr fontId="3"/>
  </si>
  <si>
    <t>故障判定</t>
    <rPh sb="0" eb="2">
      <t>コショウ</t>
    </rPh>
    <rPh sb="2" eb="4">
      <t>ハンテイ</t>
    </rPh>
    <phoneticPr fontId="3"/>
  </si>
  <si>
    <t>本来検出すべき工程</t>
    <rPh sb="0" eb="2">
      <t>ホンライ</t>
    </rPh>
    <rPh sb="2" eb="4">
      <t>ケンシュツ</t>
    </rPh>
    <rPh sb="7" eb="9">
      <t>コウテイ</t>
    </rPh>
    <phoneticPr fontId="3"/>
  </si>
  <si>
    <t>検出ができなかった理由</t>
    <rPh sb="0" eb="2">
      <t>ケンシュツ</t>
    </rPh>
    <rPh sb="9" eb="11">
      <t>リユウ</t>
    </rPh>
    <phoneticPr fontId="3"/>
  </si>
  <si>
    <t>故障分類</t>
    <rPh sb="0" eb="2">
      <t>コショウ</t>
    </rPh>
    <rPh sb="2" eb="4">
      <t>ブンルイ</t>
    </rPh>
    <phoneticPr fontId="3"/>
  </si>
  <si>
    <t>原因詳細</t>
    <rPh sb="0" eb="2">
      <t>ゲンイン</t>
    </rPh>
    <rPh sb="2" eb="4">
      <t>ショウサイ</t>
    </rPh>
    <phoneticPr fontId="3"/>
  </si>
  <si>
    <t>対応</t>
    <rPh sb="0" eb="2">
      <t>タイオウ</t>
    </rPh>
    <phoneticPr fontId="3"/>
  </si>
  <si>
    <t>対応方針</t>
    <rPh sb="0" eb="2">
      <t>タイオウ</t>
    </rPh>
    <rPh sb="2" eb="4">
      <t>ホウシン</t>
    </rPh>
    <phoneticPr fontId="3"/>
  </si>
  <si>
    <t>対応者</t>
    <rPh sb="0" eb="2">
      <t>タイオウ</t>
    </rPh>
    <rPh sb="2" eb="3">
      <t>シャ</t>
    </rPh>
    <phoneticPr fontId="3"/>
  </si>
  <si>
    <t>対応予定日</t>
    <rPh sb="0" eb="2">
      <t>タイオウ</t>
    </rPh>
    <rPh sb="2" eb="4">
      <t>ヨテイ</t>
    </rPh>
    <rPh sb="4" eb="5">
      <t>ビ</t>
    </rPh>
    <phoneticPr fontId="3"/>
  </si>
  <si>
    <t>対応完了日</t>
    <rPh sb="0" eb="2">
      <t>タイオウ</t>
    </rPh>
    <rPh sb="2" eb="5">
      <t>カンリョウビ</t>
    </rPh>
    <phoneticPr fontId="3"/>
  </si>
  <si>
    <t>重要度</t>
    <rPh sb="0" eb="3">
      <t>ジュウヨウド</t>
    </rPh>
    <phoneticPr fontId="3"/>
  </si>
  <si>
    <t>業務影響なし</t>
    <rPh sb="0" eb="2">
      <t>ギョウム</t>
    </rPh>
    <rPh sb="2" eb="4">
      <t>エイキョウ</t>
    </rPh>
    <phoneticPr fontId="3"/>
  </si>
  <si>
    <t>軽微</t>
    <rPh sb="0" eb="2">
      <t>ケイビ</t>
    </rPh>
    <phoneticPr fontId="3"/>
  </si>
  <si>
    <t>重大</t>
    <rPh sb="0" eb="2">
      <t>ジュウダイ</t>
    </rPh>
    <phoneticPr fontId="3"/>
  </si>
  <si>
    <t>致命的</t>
    <rPh sb="0" eb="3">
      <t>チメイテキ</t>
    </rPh>
    <phoneticPr fontId="3"/>
  </si>
  <si>
    <t>ステータス</t>
    <phoneticPr fontId="3"/>
  </si>
  <si>
    <t>起票</t>
    <rPh sb="0" eb="2">
      <t>キヒョウ</t>
    </rPh>
    <phoneticPr fontId="3"/>
  </si>
  <si>
    <t>対応中</t>
    <rPh sb="0" eb="3">
      <t>タイオウチュウ</t>
    </rPh>
    <phoneticPr fontId="3"/>
  </si>
  <si>
    <t>起票者確認待ち</t>
    <rPh sb="0" eb="2">
      <t>キヒョウ</t>
    </rPh>
    <rPh sb="2" eb="3">
      <t>シャ</t>
    </rPh>
    <rPh sb="3" eb="5">
      <t>カクニン</t>
    </rPh>
    <rPh sb="5" eb="6">
      <t>マ</t>
    </rPh>
    <phoneticPr fontId="3"/>
  </si>
  <si>
    <t>完了</t>
    <rPh sb="0" eb="2">
      <t>カンリョウ</t>
    </rPh>
    <phoneticPr fontId="3"/>
  </si>
  <si>
    <t>発見工程</t>
    <rPh sb="0" eb="2">
      <t>ハッケン</t>
    </rPh>
    <rPh sb="2" eb="4">
      <t>コウテイ</t>
    </rPh>
    <phoneticPr fontId="3"/>
  </si>
  <si>
    <t>単体テスト</t>
    <rPh sb="0" eb="2">
      <t>タンタイ</t>
    </rPh>
    <phoneticPr fontId="3"/>
  </si>
  <si>
    <t>結合テスト</t>
    <rPh sb="0" eb="2">
      <t>ケツゴウ</t>
    </rPh>
    <phoneticPr fontId="3"/>
  </si>
  <si>
    <t>総合テスト</t>
    <rPh sb="0" eb="2">
      <t>ソウゴウ</t>
    </rPh>
    <phoneticPr fontId="3"/>
  </si>
  <si>
    <t>ユーザテスト</t>
    <phoneticPr fontId="3"/>
  </si>
  <si>
    <t>強化テスト</t>
    <rPh sb="0" eb="2">
      <t>キョウカ</t>
    </rPh>
    <phoneticPr fontId="3"/>
  </si>
  <si>
    <t>故障判定</t>
    <rPh sb="0" eb="2">
      <t>コショウ</t>
    </rPh>
    <rPh sb="2" eb="4">
      <t>ハンテイ</t>
    </rPh>
    <phoneticPr fontId="3"/>
  </si>
  <si>
    <t>仕様バグ</t>
    <rPh sb="0" eb="2">
      <t>シヨウ</t>
    </rPh>
    <phoneticPr fontId="3"/>
  </si>
  <si>
    <t>ハードウェアバグ</t>
    <phoneticPr fontId="3"/>
  </si>
  <si>
    <t>ミドルウェアバグ</t>
    <phoneticPr fontId="3"/>
  </si>
  <si>
    <t>ソフトウェアバグ</t>
    <phoneticPr fontId="3"/>
  </si>
  <si>
    <t>再現せず</t>
    <rPh sb="0" eb="2">
      <t>サイゲン</t>
    </rPh>
    <phoneticPr fontId="3"/>
  </si>
  <si>
    <t>オペレーションミス</t>
    <phoneticPr fontId="3"/>
  </si>
  <si>
    <t>本来検出すべき工程</t>
    <rPh sb="0" eb="2">
      <t>ホンライ</t>
    </rPh>
    <rPh sb="2" eb="4">
      <t>ケンシュツ</t>
    </rPh>
    <rPh sb="7" eb="9">
      <t>コウテイ</t>
    </rPh>
    <phoneticPr fontId="3"/>
  </si>
  <si>
    <t>総合テスト</t>
    <phoneticPr fontId="3"/>
  </si>
  <si>
    <t>故障分類</t>
    <rPh sb="0" eb="2">
      <t>コショウ</t>
    </rPh>
    <rPh sb="2" eb="4">
      <t>ブンルイ</t>
    </rPh>
    <phoneticPr fontId="3"/>
  </si>
  <si>
    <t>要件誤り</t>
    <rPh sb="0" eb="2">
      <t>ヨウケン</t>
    </rPh>
    <rPh sb="2" eb="3">
      <t>アヤマ</t>
    </rPh>
    <phoneticPr fontId="3"/>
  </si>
  <si>
    <t>設計誤り</t>
    <rPh sb="0" eb="2">
      <t>セッケイ</t>
    </rPh>
    <rPh sb="2" eb="3">
      <t>アヤマ</t>
    </rPh>
    <phoneticPr fontId="3"/>
  </si>
  <si>
    <t>データ誤り</t>
    <rPh sb="3" eb="4">
      <t>アヤマ</t>
    </rPh>
    <phoneticPr fontId="3"/>
  </si>
  <si>
    <t>プログラム誤り</t>
    <rPh sb="5" eb="6">
      <t>アヤマ</t>
    </rPh>
    <phoneticPr fontId="3"/>
  </si>
  <si>
    <t>設定誤り</t>
    <rPh sb="0" eb="2">
      <t>セッテイ</t>
    </rPh>
    <rPh sb="2" eb="3">
      <t>アヤマ</t>
    </rPh>
    <phoneticPr fontId="3"/>
  </si>
  <si>
    <t>デグレ</t>
    <phoneticPr fontId="3"/>
  </si>
  <si>
    <t>環境不良</t>
    <rPh sb="0" eb="2">
      <t>カンキョウ</t>
    </rPh>
    <rPh sb="2" eb="4">
      <t>フリョウ</t>
    </rPh>
    <phoneticPr fontId="3"/>
  </si>
  <si>
    <t>仕様通り</t>
    <rPh sb="0" eb="2">
      <t>シヨウ</t>
    </rPh>
    <rPh sb="2" eb="3">
      <t>ドオ</t>
    </rPh>
    <phoneticPr fontId="3"/>
  </si>
  <si>
    <t>その他</t>
    <rPh sb="2" eb="3">
      <t>タ</t>
    </rPh>
    <phoneticPr fontId="3"/>
  </si>
  <si>
    <t>再修正</t>
    <rPh sb="0" eb="3">
      <t>サイシュウセイ</t>
    </rPh>
    <phoneticPr fontId="3"/>
  </si>
  <si>
    <t>修正なし</t>
    <rPh sb="0" eb="2">
      <t>シュウセイ</t>
    </rPh>
    <phoneticPr fontId="3"/>
  </si>
  <si>
    <t>プログラム修正</t>
    <rPh sb="5" eb="7">
      <t>シュウセイ</t>
    </rPh>
    <phoneticPr fontId="3"/>
  </si>
  <si>
    <t>設計修正</t>
    <rPh sb="0" eb="2">
      <t>セッケイ</t>
    </rPh>
    <rPh sb="2" eb="4">
      <t>シュウセイ</t>
    </rPh>
    <phoneticPr fontId="3"/>
  </si>
  <si>
    <t>データ修正</t>
    <rPh sb="3" eb="5">
      <t>シュウセイ</t>
    </rPh>
    <phoneticPr fontId="3"/>
  </si>
  <si>
    <t>その他</t>
    <rPh sb="2" eb="3">
      <t>タ</t>
    </rPh>
    <phoneticPr fontId="3"/>
  </si>
  <si>
    <t>対応内容</t>
    <rPh sb="0" eb="2">
      <t>タイオウ</t>
    </rPh>
    <rPh sb="2" eb="4">
      <t>ナイヨウ</t>
    </rPh>
    <phoneticPr fontId="3"/>
  </si>
  <si>
    <t>修正ソース</t>
    <rPh sb="0" eb="2">
      <t>シュウセイ</t>
    </rPh>
    <phoneticPr fontId="3"/>
  </si>
  <si>
    <t>故障票</t>
    <rPh sb="0" eb="2">
      <t>コショウ</t>
    </rPh>
    <rPh sb="2" eb="3">
      <t>ヒョウ</t>
    </rPh>
    <phoneticPr fontId="3"/>
  </si>
  <si>
    <t>◆各プルダウン項目設定</t>
    <rPh sb="1" eb="2">
      <t>カク</t>
    </rPh>
    <rPh sb="7" eb="9">
      <t>コウモク</t>
    </rPh>
    <rPh sb="9" eb="11">
      <t>セッテイ</t>
    </rPh>
    <phoneticPr fontId="3"/>
  </si>
  <si>
    <t>◆対象フォルダパス設定</t>
    <rPh sb="1" eb="3">
      <t>タイショウ</t>
    </rPh>
    <rPh sb="9" eb="11">
      <t>セッテイ</t>
    </rPh>
    <phoneticPr fontId="3"/>
  </si>
  <si>
    <t>起票</t>
    <rPh sb="0" eb="2">
      <t>キヒョウ</t>
    </rPh>
    <phoneticPr fontId="3"/>
  </si>
  <si>
    <t>ベースパス</t>
    <phoneticPr fontId="3"/>
  </si>
  <si>
    <t>C:\Users\user\Desktop\故障管理表</t>
    <phoneticPr fontId="3"/>
  </si>
  <si>
    <t>起票日</t>
    <rPh sb="0" eb="2">
      <t>キヒョウ</t>
    </rPh>
    <rPh sb="2" eb="3">
      <t>ビ</t>
    </rPh>
    <phoneticPr fontId="3"/>
  </si>
  <si>
    <t>起票者</t>
    <rPh sb="0" eb="2">
      <t>キヒョウ</t>
    </rPh>
    <rPh sb="2" eb="3">
      <t>シャ</t>
    </rPh>
    <phoneticPr fontId="3"/>
  </si>
  <si>
    <t>管理</t>
    <rPh sb="0" eb="2">
      <t>カンリ</t>
    </rPh>
    <phoneticPr fontId="3"/>
  </si>
  <si>
    <t>起票者確認待ち</t>
    <rPh sb="0" eb="2">
      <t>キヒョウ</t>
    </rPh>
    <rPh sb="2" eb="3">
      <t>シャ</t>
    </rPh>
    <rPh sb="3" eb="5">
      <t>カクニン</t>
    </rPh>
    <rPh sb="5" eb="6">
      <t>マ</t>
    </rPh>
    <phoneticPr fontId="3"/>
  </si>
  <si>
    <t>完了</t>
    <rPh sb="0" eb="2">
      <t>カンリョウ</t>
    </rPh>
    <phoneticPr fontId="3"/>
  </si>
  <si>
    <t>取下げ</t>
    <rPh sb="0" eb="2">
      <t>トリサ</t>
    </rPh>
    <phoneticPr fontId="3"/>
  </si>
  <si>
    <t>プロジェクト名</t>
    <rPh sb="6" eb="7">
      <t>メイ</t>
    </rPh>
    <phoneticPr fontId="3"/>
  </si>
  <si>
    <t>故障管理表名</t>
    <rPh sb="0" eb="2">
      <t>コショウ</t>
    </rPh>
    <rPh sb="2" eb="4">
      <t>カンリ</t>
    </rPh>
    <rPh sb="4" eb="5">
      <t>ヒョウ</t>
    </rPh>
    <rPh sb="5" eb="6">
      <t>メイ</t>
    </rPh>
    <phoneticPr fontId="3"/>
  </si>
  <si>
    <t>付与文言</t>
    <rPh sb="0" eb="2">
      <t>フヨ</t>
    </rPh>
    <rPh sb="2" eb="4">
      <t>モンゴン</t>
    </rPh>
    <phoneticPr fontId="3"/>
  </si>
  <si>
    <t>◆故障票付与文言　※[●●]故障票_000001.xlsm　故障票番号の通番</t>
    <rPh sb="1" eb="3">
      <t>コショウ</t>
    </rPh>
    <rPh sb="3" eb="4">
      <t>ヒョウ</t>
    </rPh>
    <rPh sb="4" eb="6">
      <t>フヨ</t>
    </rPh>
    <rPh sb="6" eb="8">
      <t>モンゴン</t>
    </rPh>
    <rPh sb="14" eb="16">
      <t>コショウ</t>
    </rPh>
    <rPh sb="16" eb="17">
      <t>ヒョウ</t>
    </rPh>
    <rPh sb="30" eb="32">
      <t>コショウ</t>
    </rPh>
    <rPh sb="32" eb="33">
      <t>ヒョウ</t>
    </rPh>
    <rPh sb="33" eb="35">
      <t>バンゴウ</t>
    </rPh>
    <rPh sb="36" eb="38">
      <t>ツウバン</t>
    </rPh>
    <phoneticPr fontId="3"/>
  </si>
  <si>
    <t>テスト</t>
    <phoneticPr fontId="3"/>
  </si>
  <si>
    <t>00001</t>
    <phoneticPr fontId="3"/>
  </si>
  <si>
    <t>取下げ</t>
    <rPh sb="0" eb="1">
      <t>ト</t>
    </rPh>
    <rPh sb="1" eb="2">
      <t>サ</t>
    </rPh>
    <phoneticPr fontId="3"/>
  </si>
  <si>
    <t>←報告内容のみ反映</t>
    <rPh sb="1" eb="3">
      <t>ホウコク</t>
    </rPh>
    <rPh sb="3" eb="5">
      <t>ナイヨウ</t>
    </rPh>
    <rPh sb="7" eb="9">
      <t>ハンエイ</t>
    </rPh>
    <phoneticPr fontId="3"/>
  </si>
  <si>
    <t>←故障・原因分析、対応を反映</t>
    <rPh sb="1" eb="3">
      <t>コショウ</t>
    </rPh>
    <rPh sb="4" eb="6">
      <t>ゲンイン</t>
    </rPh>
    <rPh sb="6" eb="8">
      <t>ブンセキ</t>
    </rPh>
    <rPh sb="9" eb="11">
      <t>タイオウ</t>
    </rPh>
    <rPh sb="12" eb="14">
      <t>ハンエイ</t>
    </rPh>
    <phoneticPr fontId="3"/>
  </si>
  <si>
    <t>←No.の値を"取下げ"とする</t>
    <rPh sb="5" eb="6">
      <t>アタイ</t>
    </rPh>
    <rPh sb="8" eb="10">
      <t>トリサ</t>
    </rPh>
    <phoneticPr fontId="3"/>
  </si>
  <si>
    <t>←再修正はここに内容を記載</t>
    <rPh sb="1" eb="4">
      <t>サイシュウセイ</t>
    </rPh>
    <rPh sb="8" eb="10">
      <t>ナイヨウ</t>
    </rPh>
    <rPh sb="11" eb="13">
      <t>キサイ</t>
    </rPh>
    <phoneticPr fontId="3"/>
  </si>
  <si>
    <t>　x/xx 〇〇 確認結果NG等</t>
    <rPh sb="9" eb="11">
      <t>カクニン</t>
    </rPh>
    <rPh sb="11" eb="13">
      <t>ケッカ</t>
    </rPh>
    <rPh sb="15" eb="16">
      <t>トウ</t>
    </rPh>
    <phoneticPr fontId="3"/>
  </si>
  <si>
    <t>履歴用</t>
    <rPh sb="0" eb="2">
      <t>リレキ</t>
    </rPh>
    <rPh sb="2" eb="3">
      <t>ヨウ</t>
    </rPh>
    <phoneticPr fontId="3"/>
  </si>
  <si>
    <t>修正確認日</t>
    <rPh sb="0" eb="2">
      <t>シュウセイ</t>
    </rPh>
    <rPh sb="2" eb="4">
      <t>カクニン</t>
    </rPh>
    <rPh sb="4" eb="5">
      <t>ビ</t>
    </rPh>
    <phoneticPr fontId="3"/>
  </si>
  <si>
    <t>※キャプチャは「故障手順キャプチャ」シートに貼り付けてください。</t>
    <rPh sb="8" eb="10">
      <t>コショウ</t>
    </rPh>
    <rPh sb="10" eb="12">
      <t>テジュン</t>
    </rPh>
    <rPh sb="22" eb="23">
      <t>ハ</t>
    </rPh>
    <rPh sb="24" eb="25">
      <t>ツ</t>
    </rPh>
    <phoneticPr fontId="3"/>
  </si>
  <si>
    <t>改善</t>
    <rPh sb="0" eb="2">
      <t>カイゼン</t>
    </rPh>
    <phoneticPr fontId="3"/>
  </si>
  <si>
    <t>仕様通り</t>
    <rPh sb="0" eb="2">
      <t>シヨウ</t>
    </rPh>
    <rPh sb="2" eb="3">
      <t>ドオ</t>
    </rPh>
    <phoneticPr fontId="3"/>
  </si>
  <si>
    <t>その他</t>
    <rPh sb="2" eb="3">
      <t>タ</t>
    </rPh>
    <phoneticPr fontId="3"/>
  </si>
  <si>
    <t>中程度</t>
    <rPh sb="0" eb="3">
      <t>チュウテイド</t>
    </rPh>
    <phoneticPr fontId="3"/>
  </si>
  <si>
    <t>画面名</t>
    <rPh sb="0" eb="2">
      <t>ガメン</t>
    </rPh>
    <rPh sb="2" eb="3">
      <t>メイ</t>
    </rPh>
    <phoneticPr fontId="3"/>
  </si>
  <si>
    <t>●●画面</t>
    <rPh sb="2" eb="4">
      <t>ガメン</t>
    </rPh>
    <phoneticPr fontId="3"/>
  </si>
  <si>
    <t>〇〇画面</t>
    <rPh sb="2" eb="4">
      <t>ガメン</t>
    </rPh>
    <phoneticPr fontId="3"/>
  </si>
  <si>
    <t>▲▲画面</t>
    <rPh sb="2" eb="4">
      <t>ガメン</t>
    </rPh>
    <phoneticPr fontId="3"/>
  </si>
  <si>
    <t>△△画面</t>
    <rPh sb="2" eb="4">
      <t>ガメン</t>
    </rPh>
    <phoneticPr fontId="3"/>
  </si>
  <si>
    <t>■■バッチ</t>
    <phoneticPr fontId="3"/>
  </si>
  <si>
    <t>□□バッチ</t>
    <phoneticPr fontId="3"/>
  </si>
  <si>
    <t>●●PJ_強化試験</t>
    <rPh sb="5" eb="7">
      <t>キョウカ</t>
    </rPh>
    <rPh sb="7" eb="9">
      <t>シケン</t>
    </rPh>
    <phoneticPr fontId="3"/>
  </si>
  <si>
    <t>田中</t>
    <rPh sb="0" eb="2">
      <t>タナカ</t>
    </rPh>
    <phoneticPr fontId="3"/>
  </si>
  <si>
    <t>00001</t>
    <phoneticPr fontId="3"/>
  </si>
  <si>
    <t>再現方法
改行
再現方法２</t>
    <rPh sb="0" eb="2">
      <t>サイゲン</t>
    </rPh>
    <rPh sb="2" eb="4">
      <t>ホウホウ</t>
    </rPh>
    <rPh sb="5" eb="7">
      <t>カイギョウ</t>
    </rPh>
    <rPh sb="8" eb="10">
      <t>サイゲン</t>
    </rPh>
    <rPh sb="10" eb="12">
      <t>ホウホウ</t>
    </rPh>
    <phoneticPr fontId="3"/>
  </si>
  <si>
    <t>故障内容
改行
故障内容２</t>
    <rPh sb="0" eb="2">
      <t>コショウ</t>
    </rPh>
    <rPh sb="2" eb="4">
      <t>ナイヨウ</t>
    </rPh>
    <rPh sb="5" eb="7">
      <t>カイギョウ</t>
    </rPh>
    <rPh sb="8" eb="10">
      <t>コショウ</t>
    </rPh>
    <rPh sb="10" eb="12">
      <t>ナイヨウ</t>
    </rPh>
    <phoneticPr fontId="3"/>
  </si>
  <si>
    <t>山田</t>
    <rPh sb="0" eb="2">
      <t>ヤマダ</t>
    </rPh>
    <phoneticPr fontId="3"/>
  </si>
  <si>
    <t>コーディングバグ</t>
  </si>
  <si>
    <t>コーディングバグ</t>
    <phoneticPr fontId="3"/>
  </si>
  <si>
    <t>検出ができなかった理由
改行
検出ができなかった理由２</t>
    <rPh sb="0" eb="2">
      <t>ケンシュツ</t>
    </rPh>
    <rPh sb="9" eb="11">
      <t>リユウ</t>
    </rPh>
    <rPh sb="12" eb="14">
      <t>カイギョウ</t>
    </rPh>
    <rPh sb="15" eb="17">
      <t>ケンシュツ</t>
    </rPh>
    <rPh sb="24" eb="26">
      <t>リユウ</t>
    </rPh>
    <phoneticPr fontId="3"/>
  </si>
  <si>
    <t>原因詳細
改行
原因詳細２</t>
    <rPh sb="0" eb="2">
      <t>ゲンイン</t>
    </rPh>
    <rPh sb="2" eb="4">
      <t>ショウサイ</t>
    </rPh>
    <rPh sb="5" eb="7">
      <t>カイギョウ</t>
    </rPh>
    <rPh sb="8" eb="10">
      <t>ゲンイン</t>
    </rPh>
    <rPh sb="10" eb="12">
      <t>ショウサイ</t>
    </rPh>
    <phoneticPr fontId="3"/>
  </si>
  <si>
    <t>仕様変更</t>
    <rPh sb="0" eb="2">
      <t>シヨウ</t>
    </rPh>
    <rPh sb="2" eb="4">
      <t>ヘンコウ</t>
    </rPh>
    <phoneticPr fontId="3"/>
  </si>
  <si>
    <t>対応内容
改行
対応内容２</t>
    <rPh sb="0" eb="2">
      <t>タイオウ</t>
    </rPh>
    <rPh sb="2" eb="4">
      <t>ナイヨウ</t>
    </rPh>
    <rPh sb="5" eb="7">
      <t>カイギョウ</t>
    </rPh>
    <rPh sb="8" eb="10">
      <t>タイオウ</t>
    </rPh>
    <rPh sb="10" eb="12">
      <t>ナイヨウ</t>
    </rPh>
    <phoneticPr fontId="3"/>
  </si>
  <si>
    <t>xxxx.html</t>
    <phoneticPr fontId="3"/>
  </si>
  <si>
    <t>コメント
改行
コメント</t>
    <rPh sb="5" eb="7">
      <t>カイギョウ</t>
    </rPh>
    <phoneticPr fontId="3"/>
  </si>
  <si>
    <t>その他</t>
    <rPh sb="2" eb="3">
      <t>タ</t>
    </rPh>
    <phoneticPr fontId="3"/>
  </si>
  <si>
    <t>修正確認者</t>
    <rPh sb="0" eb="2">
      <t>シュウセイ</t>
    </rPh>
    <rPh sb="2" eb="4">
      <t>カクニン</t>
    </rPh>
    <rPh sb="4" eb="5">
      <t>シャ</t>
    </rPh>
    <phoneticPr fontId="3"/>
  </si>
  <si>
    <t>修正確認
コメント</t>
    <rPh sb="0" eb="2">
      <t>シュウセイ</t>
    </rPh>
    <rPh sb="2" eb="4">
      <t>カクニン</t>
    </rPh>
    <phoneticPr fontId="3"/>
  </si>
  <si>
    <t>関連故障No</t>
    <rPh sb="0" eb="2">
      <t>カンレン</t>
    </rPh>
    <rPh sb="2" eb="4">
      <t>コショウ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</si>
</sst>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4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0" fillId="0" borderId="0" xfId="0" applyFill="1" applyBorder="1">
      <alignment vertical="center"/>
    </xf>
    <xf numFmtId="0" fontId="0" fillId="3" borderId="11" xfId="0" applyFill="1" applyBorder="1" applyAlignment="1">
      <alignment vertical="center" shrinkToFit="1"/>
    </xf>
    <xf numFmtId="0" fontId="0" fillId="0" borderId="0" xfId="0" applyBorder="1" applyProtection="1">
      <alignment vertical="center"/>
      <protection locked="0"/>
    </xf>
    <xf numFmtId="0" fontId="4" fillId="0" borderId="1" xfId="0" applyFont="1" applyBorder="1" applyProtection="1">
      <alignment vertical="center"/>
      <protection locked="0"/>
    </xf>
    <xf numFmtId="0" fontId="0" fillId="0" borderId="2" xfId="0" applyBorder="1" applyProtection="1">
      <alignment vertical="center"/>
      <protection locked="0"/>
    </xf>
    <xf numFmtId="0" fontId="1" fillId="0" borderId="2" xfId="0" applyFont="1" applyBorder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0" borderId="0" xfId="0" applyBorder="1" applyAlignment="1" applyProtection="1">
      <alignment horizontal="left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" fillId="0" borderId="0" xfId="0" applyFont="1" applyBorder="1" applyProtection="1">
      <alignment vertical="center"/>
      <protection locked="0"/>
    </xf>
    <xf numFmtId="0" fontId="0" fillId="0" borderId="4" xfId="0" applyBorder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0" fontId="0" fillId="0" borderId="6" xfId="0" applyBorder="1" applyProtection="1">
      <alignment vertical="center"/>
      <protection locked="0"/>
    </xf>
    <xf numFmtId="0" fontId="5" fillId="0" borderId="1" xfId="0" applyFont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8" fillId="0" borderId="0" xfId="0" applyFont="1" applyProtection="1">
      <alignment vertical="center"/>
      <protection locked="0"/>
    </xf>
    <xf numFmtId="0" fontId="0" fillId="3" borderId="0" xfId="0" applyFill="1">
      <alignment vertical="center"/>
    </xf>
    <xf numFmtId="0" fontId="0" fillId="6" borderId="11" xfId="0" applyFill="1" applyBorder="1" applyAlignment="1">
      <alignment vertical="center" shrinkToFit="1"/>
    </xf>
    <xf numFmtId="0" fontId="0" fillId="3" borderId="11" xfId="0" applyFill="1" applyBorder="1">
      <alignment vertical="center"/>
    </xf>
    <xf numFmtId="0" fontId="0" fillId="3" borderId="11" xfId="0" applyFill="1" applyBorder="1" applyAlignment="1" applyProtection="1">
      <alignment horizontal="left" vertical="center"/>
      <protection locked="0"/>
    </xf>
    <xf numFmtId="176" fontId="0" fillId="0" borderId="11" xfId="0" applyNumberFormat="1" applyBorder="1" applyAlignment="1" applyProtection="1">
      <alignment horizontal="left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 applyProtection="1">
      <alignment horizontal="center" vertical="center"/>
      <protection locked="0"/>
    </xf>
    <xf numFmtId="0" fontId="2" fillId="2" borderId="5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0" fillId="3" borderId="8" xfId="0" applyFill="1" applyBorder="1" applyAlignment="1" applyProtection="1">
      <alignment horizontal="left" vertical="center"/>
      <protection locked="0"/>
    </xf>
    <xf numFmtId="0" fontId="0" fillId="3" borderId="9" xfId="0" applyFill="1" applyBorder="1" applyAlignment="1" applyProtection="1">
      <alignment horizontal="left" vertical="center"/>
      <protection locked="0"/>
    </xf>
    <xf numFmtId="0" fontId="0" fillId="3" borderId="10" xfId="0" applyFill="1" applyBorder="1" applyAlignment="1" applyProtection="1">
      <alignment horizontal="left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7" fillId="3" borderId="11" xfId="0" applyFont="1" applyFill="1" applyBorder="1" applyAlignment="1" applyProtection="1">
      <alignment horizontal="left" vertical="center"/>
      <protection locked="0"/>
    </xf>
    <xf numFmtId="49" fontId="0" fillId="0" borderId="11" xfId="0" applyNumberFormat="1" applyBorder="1" applyAlignment="1" applyProtection="1">
      <alignment horizontal="right" vertical="center"/>
    </xf>
    <xf numFmtId="0" fontId="0" fillId="5" borderId="8" xfId="0" applyFill="1" applyBorder="1" applyAlignment="1" applyProtection="1">
      <alignment horizontal="left" vertical="center"/>
      <protection locked="0"/>
    </xf>
    <xf numFmtId="0" fontId="0" fillId="5" borderId="9" xfId="0" applyFill="1" applyBorder="1" applyAlignment="1" applyProtection="1">
      <alignment horizontal="left" vertical="center"/>
      <protection locked="0"/>
    </xf>
    <xf numFmtId="0" fontId="0" fillId="4" borderId="11" xfId="0" applyFill="1" applyBorder="1" applyAlignment="1" applyProtection="1">
      <alignment horizontal="left" vertical="center"/>
      <protection locked="0"/>
    </xf>
    <xf numFmtId="49" fontId="0" fillId="0" borderId="11" xfId="0" applyNumberFormat="1" applyBorder="1" applyAlignment="1" applyProtection="1">
      <alignment horizontal="right" vertical="center"/>
      <protection locked="0"/>
    </xf>
    <xf numFmtId="0" fontId="0" fillId="0" borderId="11" xfId="0" applyBorder="1" applyAlignment="1" applyProtection="1">
      <alignment horizontal="left" vertical="top" wrapText="1"/>
      <protection locked="0"/>
    </xf>
    <xf numFmtId="0" fontId="0" fillId="0" borderId="11" xfId="0" applyBorder="1" applyAlignment="1" applyProtection="1">
      <alignment horizontal="left" vertical="top"/>
      <protection locked="0"/>
    </xf>
    <xf numFmtId="0" fontId="0" fillId="3" borderId="11" xfId="0" applyFill="1" applyBorder="1" applyAlignment="1" applyProtection="1">
      <alignment horizontal="left" vertical="center" wrapText="1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9" xfId="0" applyBorder="1" applyAlignment="1" applyProtection="1">
      <alignment horizontal="left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266700</xdr:colOff>
          <xdr:row>5</xdr:row>
          <xdr:rowOff>85725</xdr:rowOff>
        </xdr:from>
        <xdr:to>
          <xdr:col>27</xdr:col>
          <xdr:colOff>257175</xdr:colOff>
          <xdr:row>7</xdr:row>
          <xdr:rowOff>0</xdr:rowOff>
        </xdr:to>
        <xdr:sp macro="" textlink="">
          <xdr:nvSpPr>
            <xdr:cNvPr id="1026" name="Draft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7</xdr:row>
          <xdr:rowOff>104775</xdr:rowOff>
        </xdr:from>
        <xdr:to>
          <xdr:col>27</xdr:col>
          <xdr:colOff>266700</xdr:colOff>
          <xdr:row>9</xdr:row>
          <xdr:rowOff>0</xdr:rowOff>
        </xdr:to>
        <xdr:sp macro="" textlink="">
          <xdr:nvSpPr>
            <xdr:cNvPr id="1027" name="Update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266700</xdr:colOff>
          <xdr:row>9</xdr:row>
          <xdr:rowOff>114300</xdr:rowOff>
        </xdr:from>
        <xdr:to>
          <xdr:col>27</xdr:col>
          <xdr:colOff>266700</xdr:colOff>
          <xdr:row>11</xdr:row>
          <xdr:rowOff>19050</xdr:rowOff>
        </xdr:to>
        <xdr:sp macro="" textlink="">
          <xdr:nvSpPr>
            <xdr:cNvPr id="1028" name="Withdrawal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D81F0-5E32-405A-8982-00F958A51017}">
  <sheetPr codeName="Sheet1"/>
  <dimension ref="A1:AD47"/>
  <sheetViews>
    <sheetView tabSelected="1" view="pageBreakPreview" zoomScaleNormal="100" zoomScaleSheetLayoutView="100" workbookViewId="0">
      <selection sqref="A1:AC2"/>
    </sheetView>
  </sheetViews>
  <sheetFormatPr defaultColWidth="3.625" defaultRowHeight="18.75" x14ac:dyDescent="0.4"/>
  <sheetData>
    <row r="1" spans="1:30" ht="18.75" customHeight="1" x14ac:dyDescent="0.4">
      <c r="A1" s="25" t="s">
        <v>68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</row>
    <row r="2" spans="1:30" ht="19.5" customHeight="1" thickBot="1" x14ac:dyDescent="0.45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30"/>
    </row>
    <row r="3" spans="1:30" x14ac:dyDescent="0.4">
      <c r="A3" s="4" t="s">
        <v>0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6" t="s">
        <v>1</v>
      </c>
      <c r="X3" s="5"/>
      <c r="Y3" s="5"/>
      <c r="Z3" s="5"/>
      <c r="AA3" s="5"/>
      <c r="AB3" s="5"/>
      <c r="AC3" s="7"/>
    </row>
    <row r="4" spans="1:30" x14ac:dyDescent="0.4">
      <c r="A4" s="8"/>
      <c r="B4" s="31" t="s">
        <v>2</v>
      </c>
      <c r="C4" s="32"/>
      <c r="D4" s="32"/>
      <c r="E4" s="33"/>
      <c r="F4" s="34" t="s">
        <v>106</v>
      </c>
      <c r="G4" s="35"/>
      <c r="H4" s="35"/>
      <c r="I4" s="35"/>
      <c r="J4" s="35"/>
      <c r="K4" s="35"/>
      <c r="L4" s="35"/>
      <c r="M4" s="35"/>
      <c r="N4" s="35"/>
      <c r="O4" s="3"/>
      <c r="P4" s="3"/>
      <c r="Q4" s="3"/>
      <c r="R4" s="3"/>
      <c r="S4" s="36" t="s">
        <v>3</v>
      </c>
      <c r="T4" s="36"/>
      <c r="U4" s="36"/>
      <c r="V4" s="36"/>
      <c r="W4" s="37" t="s">
        <v>85</v>
      </c>
      <c r="X4" s="37"/>
      <c r="Y4" s="37"/>
      <c r="Z4" s="37"/>
      <c r="AA4" s="37"/>
      <c r="AB4" s="37"/>
      <c r="AC4" s="9"/>
    </row>
    <row r="5" spans="1:30" x14ac:dyDescent="0.4">
      <c r="A5" s="8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3"/>
      <c r="R5" s="3"/>
      <c r="S5" s="38" t="s">
        <v>4</v>
      </c>
      <c r="T5" s="39"/>
      <c r="U5" s="39"/>
      <c r="V5" s="39"/>
      <c r="W5" s="45" t="s">
        <v>31</v>
      </c>
      <c r="X5" s="46"/>
      <c r="Y5" s="46"/>
      <c r="Z5" s="46"/>
      <c r="AA5" s="46"/>
      <c r="AB5" s="34"/>
      <c r="AC5" s="9"/>
    </row>
    <row r="6" spans="1:30" x14ac:dyDescent="0.4">
      <c r="A6" s="8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9"/>
    </row>
    <row r="7" spans="1:30" x14ac:dyDescent="0.4">
      <c r="A7" s="8"/>
      <c r="B7" s="40" t="s">
        <v>74</v>
      </c>
      <c r="C7" s="40"/>
      <c r="D7" s="40"/>
      <c r="E7" s="40"/>
      <c r="F7" s="24">
        <v>44702</v>
      </c>
      <c r="G7" s="24"/>
      <c r="H7" s="24"/>
      <c r="I7" s="24"/>
      <c r="J7" s="24"/>
      <c r="K7" s="24"/>
      <c r="L7" s="3"/>
      <c r="M7" s="3"/>
      <c r="N7" s="40" t="s">
        <v>75</v>
      </c>
      <c r="O7" s="40"/>
      <c r="P7" s="40"/>
      <c r="Q7" s="40"/>
      <c r="R7" s="35" t="s">
        <v>107</v>
      </c>
      <c r="S7" s="35"/>
      <c r="T7" s="35"/>
      <c r="U7" s="35"/>
      <c r="V7" s="35"/>
      <c r="W7" s="35"/>
      <c r="X7" s="10"/>
      <c r="Y7" s="10"/>
      <c r="Z7" s="10"/>
      <c r="AA7" s="11"/>
      <c r="AB7" s="11"/>
      <c r="AC7" s="9"/>
      <c r="AD7" t="s">
        <v>87</v>
      </c>
    </row>
    <row r="8" spans="1:30" x14ac:dyDescent="0.4">
      <c r="A8" s="8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10"/>
      <c r="Y8" s="10"/>
      <c r="Z8" s="10"/>
      <c r="AA8" s="11"/>
      <c r="AB8" s="11"/>
      <c r="AC8" s="9"/>
    </row>
    <row r="9" spans="1:30" x14ac:dyDescent="0.4">
      <c r="A9" s="8"/>
      <c r="B9" s="40" t="s">
        <v>11</v>
      </c>
      <c r="C9" s="40"/>
      <c r="D9" s="40"/>
      <c r="E9" s="40"/>
      <c r="F9" s="35" t="s">
        <v>37</v>
      </c>
      <c r="G9" s="35"/>
      <c r="H9" s="35"/>
      <c r="I9" s="35"/>
      <c r="J9" s="35"/>
      <c r="K9" s="35"/>
      <c r="L9" s="10"/>
      <c r="M9" s="10"/>
      <c r="N9" s="10"/>
      <c r="O9" s="3"/>
      <c r="P9" s="3"/>
      <c r="Q9" s="3"/>
      <c r="R9" s="3"/>
      <c r="S9" s="3"/>
      <c r="T9" s="3"/>
      <c r="U9" s="3"/>
      <c r="V9" s="3"/>
      <c r="W9" s="3"/>
      <c r="X9" s="10"/>
      <c r="Y9" s="10"/>
      <c r="Z9" s="10"/>
      <c r="AA9" s="11"/>
      <c r="AB9" s="11"/>
      <c r="AC9" s="9"/>
      <c r="AD9" t="s">
        <v>88</v>
      </c>
    </row>
    <row r="10" spans="1:30" x14ac:dyDescent="0.4">
      <c r="A10" s="8"/>
      <c r="B10" s="40" t="s">
        <v>6</v>
      </c>
      <c r="C10" s="40"/>
      <c r="D10" s="40"/>
      <c r="E10" s="40"/>
      <c r="F10" s="35" t="s">
        <v>100</v>
      </c>
      <c r="G10" s="35"/>
      <c r="H10" s="35"/>
      <c r="I10" s="35"/>
      <c r="J10" s="35"/>
      <c r="K10" s="35"/>
      <c r="L10" s="35"/>
      <c r="M10" s="35"/>
      <c r="N10" s="35"/>
      <c r="O10" s="40" t="s">
        <v>7</v>
      </c>
      <c r="P10" s="40"/>
      <c r="Q10" s="40"/>
      <c r="R10" s="40"/>
      <c r="S10" s="35" t="s">
        <v>27</v>
      </c>
      <c r="T10" s="35"/>
      <c r="U10" s="35"/>
      <c r="V10" s="35"/>
      <c r="W10" s="35"/>
      <c r="X10" s="10"/>
      <c r="Y10" s="10"/>
      <c r="Z10" s="10"/>
      <c r="AA10" s="11"/>
      <c r="AB10" s="11"/>
      <c r="AC10" s="9"/>
    </row>
    <row r="11" spans="1:30" x14ac:dyDescent="0.4">
      <c r="A11" s="8"/>
      <c r="B11" s="40" t="s">
        <v>8</v>
      </c>
      <c r="C11" s="40"/>
      <c r="D11" s="40"/>
      <c r="E11" s="40"/>
      <c r="F11" s="35" t="s">
        <v>84</v>
      </c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"/>
      <c r="Y11" s="3"/>
      <c r="Z11" s="3"/>
      <c r="AA11" s="3"/>
      <c r="AB11" s="3"/>
      <c r="AC11" s="9"/>
      <c r="AD11" t="s">
        <v>89</v>
      </c>
    </row>
    <row r="12" spans="1:30" x14ac:dyDescent="0.4">
      <c r="A12" s="8"/>
      <c r="B12" s="40" t="s">
        <v>9</v>
      </c>
      <c r="C12" s="40"/>
      <c r="D12" s="40"/>
      <c r="E12" s="40"/>
      <c r="F12" s="42" t="s">
        <v>110</v>
      </c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3"/>
      <c r="Y12" s="3"/>
      <c r="Z12" s="3"/>
      <c r="AA12" s="3"/>
      <c r="AB12" s="3"/>
      <c r="AC12" s="9"/>
    </row>
    <row r="13" spans="1:30" x14ac:dyDescent="0.4">
      <c r="A13" s="8"/>
      <c r="B13" s="40"/>
      <c r="C13" s="40"/>
      <c r="D13" s="40"/>
      <c r="E13" s="40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3"/>
      <c r="Y13" s="3"/>
      <c r="Z13" s="3"/>
      <c r="AA13" s="3"/>
      <c r="AB13" s="3"/>
      <c r="AC13" s="9"/>
    </row>
    <row r="14" spans="1:30" x14ac:dyDescent="0.4">
      <c r="A14" s="8"/>
      <c r="B14" s="40"/>
      <c r="C14" s="40"/>
      <c r="D14" s="40"/>
      <c r="E14" s="40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3"/>
      <c r="Y14" s="3"/>
      <c r="Z14" s="3"/>
      <c r="AA14" s="3"/>
      <c r="AB14" s="3"/>
      <c r="AC14" s="9"/>
    </row>
    <row r="15" spans="1:30" x14ac:dyDescent="0.4">
      <c r="A15" s="8"/>
      <c r="B15" s="40" t="s">
        <v>10</v>
      </c>
      <c r="C15" s="40"/>
      <c r="D15" s="40"/>
      <c r="E15" s="40"/>
      <c r="F15" s="42" t="s">
        <v>109</v>
      </c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3"/>
      <c r="Y15" s="3"/>
      <c r="Z15" s="3"/>
      <c r="AA15" s="3"/>
      <c r="AB15" s="3"/>
      <c r="AC15" s="9"/>
    </row>
    <row r="16" spans="1:30" x14ac:dyDescent="0.4">
      <c r="A16" s="8"/>
      <c r="B16" s="40"/>
      <c r="C16" s="40"/>
      <c r="D16" s="40"/>
      <c r="E16" s="40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3"/>
      <c r="Y16" s="3"/>
      <c r="Z16" s="3"/>
      <c r="AA16" s="3"/>
      <c r="AB16" s="3"/>
      <c r="AC16" s="9"/>
    </row>
    <row r="17" spans="1:29" x14ac:dyDescent="0.4">
      <c r="A17" s="8"/>
      <c r="B17" s="40"/>
      <c r="C17" s="40"/>
      <c r="D17" s="40"/>
      <c r="E17" s="40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3"/>
      <c r="Y17" s="3"/>
      <c r="Z17" s="3"/>
      <c r="AA17" s="3"/>
      <c r="AB17" s="3"/>
      <c r="AC17" s="9"/>
    </row>
    <row r="18" spans="1:29" x14ac:dyDescent="0.4">
      <c r="A18" s="8"/>
      <c r="B18" s="40" t="s">
        <v>123</v>
      </c>
      <c r="C18" s="40"/>
      <c r="D18" s="40"/>
      <c r="E18" s="40"/>
      <c r="F18" s="41" t="s">
        <v>108</v>
      </c>
      <c r="G18" s="41"/>
      <c r="H18" s="41"/>
      <c r="I18" s="41"/>
      <c r="J18" s="41"/>
      <c r="K18" s="3"/>
      <c r="L18" s="3"/>
      <c r="M18" s="12" t="s">
        <v>94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9"/>
    </row>
    <row r="19" spans="1:29" x14ac:dyDescent="0.4">
      <c r="A19" s="8"/>
      <c r="B19" s="40" t="s">
        <v>5</v>
      </c>
      <c r="C19" s="40"/>
      <c r="D19" s="40"/>
      <c r="E19" s="40"/>
      <c r="F19" s="24">
        <v>44705</v>
      </c>
      <c r="G19" s="24"/>
      <c r="H19" s="24"/>
      <c r="I19" s="24"/>
      <c r="J19" s="24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9"/>
    </row>
    <row r="20" spans="1:29" ht="19.5" thickBot="1" x14ac:dyDescent="0.45">
      <c r="A20" s="13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4">
      <c r="A21" s="16" t="s">
        <v>12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</row>
    <row r="22" spans="1:29" x14ac:dyDescent="0.4">
      <c r="A22" s="8"/>
      <c r="B22" s="40" t="s">
        <v>13</v>
      </c>
      <c r="C22" s="40"/>
      <c r="D22" s="40"/>
      <c r="E22" s="40"/>
      <c r="F22" s="24">
        <v>44702</v>
      </c>
      <c r="G22" s="24"/>
      <c r="H22" s="24"/>
      <c r="I22" s="24"/>
      <c r="J22" s="24"/>
      <c r="K22" s="24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9"/>
    </row>
    <row r="23" spans="1:29" x14ac:dyDescent="0.4">
      <c r="A23" s="8"/>
      <c r="B23" s="40" t="s">
        <v>14</v>
      </c>
      <c r="C23" s="40"/>
      <c r="D23" s="40"/>
      <c r="E23" s="40"/>
      <c r="F23" s="35" t="s">
        <v>111</v>
      </c>
      <c r="G23" s="35"/>
      <c r="H23" s="35"/>
      <c r="I23" s="35"/>
      <c r="J23" s="35"/>
      <c r="K23" s="35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9"/>
    </row>
    <row r="24" spans="1:29" x14ac:dyDescent="0.4">
      <c r="A24" s="8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9"/>
    </row>
    <row r="25" spans="1:29" x14ac:dyDescent="0.4">
      <c r="A25" s="8"/>
      <c r="B25" s="40" t="s">
        <v>15</v>
      </c>
      <c r="C25" s="40"/>
      <c r="D25" s="40"/>
      <c r="E25" s="40"/>
      <c r="F25" s="35" t="s">
        <v>112</v>
      </c>
      <c r="G25" s="35"/>
      <c r="H25" s="35"/>
      <c r="I25" s="35"/>
      <c r="J25" s="35"/>
      <c r="K25" s="35"/>
      <c r="L25" s="40" t="s">
        <v>16</v>
      </c>
      <c r="M25" s="40"/>
      <c r="N25" s="40"/>
      <c r="O25" s="40"/>
      <c r="P25" s="40"/>
      <c r="Q25" s="35" t="s">
        <v>36</v>
      </c>
      <c r="R25" s="35"/>
      <c r="S25" s="35"/>
      <c r="T25" s="35"/>
      <c r="U25" s="35"/>
      <c r="V25" s="35"/>
      <c r="W25" s="35"/>
      <c r="X25" s="17"/>
      <c r="Y25" s="17"/>
      <c r="Z25" s="17"/>
      <c r="AA25" s="17"/>
      <c r="AB25" s="17"/>
      <c r="AC25" s="9"/>
    </row>
    <row r="26" spans="1:29" x14ac:dyDescent="0.4">
      <c r="A26" s="8"/>
      <c r="B26" s="44" t="s">
        <v>17</v>
      </c>
      <c r="C26" s="44"/>
      <c r="D26" s="44"/>
      <c r="E26" s="44"/>
      <c r="F26" s="42" t="s">
        <v>114</v>
      </c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17"/>
      <c r="Y26" s="17"/>
      <c r="Z26" s="17"/>
      <c r="AA26" s="17"/>
      <c r="AB26" s="17"/>
      <c r="AC26" s="9"/>
    </row>
    <row r="27" spans="1:29" x14ac:dyDescent="0.4">
      <c r="A27" s="8"/>
      <c r="B27" s="44"/>
      <c r="C27" s="44"/>
      <c r="D27" s="44"/>
      <c r="E27" s="44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17"/>
      <c r="Y27" s="17"/>
      <c r="Z27" s="17"/>
      <c r="AA27" s="17"/>
      <c r="AB27" s="17"/>
      <c r="AC27" s="9"/>
    </row>
    <row r="28" spans="1:29" x14ac:dyDescent="0.4">
      <c r="A28" s="8"/>
      <c r="B28" s="44"/>
      <c r="C28" s="44"/>
      <c r="D28" s="44"/>
      <c r="E28" s="44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17"/>
      <c r="Y28" s="17"/>
      <c r="Z28" s="17"/>
      <c r="AA28" s="17"/>
      <c r="AB28" s="17"/>
      <c r="AC28" s="9"/>
    </row>
    <row r="29" spans="1:29" x14ac:dyDescent="0.4">
      <c r="A29" s="8"/>
      <c r="B29" s="40" t="s">
        <v>18</v>
      </c>
      <c r="C29" s="40"/>
      <c r="D29" s="40"/>
      <c r="E29" s="40"/>
      <c r="F29" s="35" t="s">
        <v>52</v>
      </c>
      <c r="G29" s="35"/>
      <c r="H29" s="35"/>
      <c r="I29" s="35"/>
      <c r="J29" s="35"/>
      <c r="K29" s="35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9"/>
    </row>
    <row r="30" spans="1:29" x14ac:dyDescent="0.4">
      <c r="A30" s="8"/>
      <c r="B30" s="40" t="s">
        <v>19</v>
      </c>
      <c r="C30" s="40"/>
      <c r="D30" s="40"/>
      <c r="E30" s="40"/>
      <c r="F30" s="42" t="s">
        <v>115</v>
      </c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17"/>
      <c r="Y30" s="17"/>
      <c r="Z30" s="17"/>
      <c r="AA30" s="17"/>
      <c r="AB30" s="17"/>
      <c r="AC30" s="9"/>
    </row>
    <row r="31" spans="1:29" x14ac:dyDescent="0.4">
      <c r="A31" s="8"/>
      <c r="B31" s="40"/>
      <c r="C31" s="40"/>
      <c r="D31" s="40"/>
      <c r="E31" s="40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17"/>
      <c r="Y31" s="17"/>
      <c r="Z31" s="17"/>
      <c r="AA31" s="17"/>
      <c r="AB31" s="17"/>
      <c r="AC31" s="9"/>
    </row>
    <row r="32" spans="1:29" x14ac:dyDescent="0.4">
      <c r="A32" s="8"/>
      <c r="B32" s="40"/>
      <c r="C32" s="40"/>
      <c r="D32" s="40"/>
      <c r="E32" s="40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17"/>
      <c r="Y32" s="17"/>
      <c r="Z32" s="17"/>
      <c r="AA32" s="17"/>
      <c r="AB32" s="17"/>
      <c r="AC32" s="9"/>
    </row>
    <row r="33" spans="1:29" ht="19.5" thickBot="1" x14ac:dyDescent="0.45">
      <c r="A33" s="13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5"/>
    </row>
    <row r="34" spans="1:29" x14ac:dyDescent="0.4">
      <c r="A34" s="18" t="s">
        <v>20</v>
      </c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</row>
    <row r="35" spans="1:29" x14ac:dyDescent="0.4">
      <c r="A35" s="17"/>
      <c r="B35" s="23" t="s">
        <v>21</v>
      </c>
      <c r="C35" s="23"/>
      <c r="D35" s="23"/>
      <c r="E35" s="23"/>
      <c r="F35" s="35" t="s">
        <v>116</v>
      </c>
      <c r="G35" s="35"/>
      <c r="H35" s="35"/>
      <c r="I35" s="35"/>
      <c r="J35" s="35"/>
      <c r="K35" s="35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</row>
    <row r="36" spans="1:29" x14ac:dyDescent="0.4">
      <c r="A36" s="17"/>
      <c r="B36" s="23" t="s">
        <v>22</v>
      </c>
      <c r="C36" s="23"/>
      <c r="D36" s="23"/>
      <c r="E36" s="23"/>
      <c r="F36" s="35" t="s">
        <v>111</v>
      </c>
      <c r="G36" s="35"/>
      <c r="H36" s="35"/>
      <c r="I36" s="35"/>
      <c r="J36" s="35"/>
      <c r="K36" s="35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</row>
    <row r="37" spans="1:29" x14ac:dyDescent="0.4">
      <c r="A37" s="17"/>
      <c r="B37" s="23" t="s">
        <v>23</v>
      </c>
      <c r="C37" s="23"/>
      <c r="D37" s="23"/>
      <c r="E37" s="23"/>
      <c r="F37" s="24">
        <v>44703</v>
      </c>
      <c r="G37" s="24"/>
      <c r="H37" s="24"/>
      <c r="I37" s="24"/>
      <c r="J37" s="24"/>
      <c r="K37" s="24"/>
      <c r="L37" s="23" t="s">
        <v>24</v>
      </c>
      <c r="M37" s="23"/>
      <c r="N37" s="23"/>
      <c r="O37" s="23"/>
      <c r="P37" s="24">
        <v>44703</v>
      </c>
      <c r="Q37" s="24"/>
      <c r="R37" s="24"/>
      <c r="S37" s="24"/>
      <c r="T37" s="24"/>
      <c r="U37" s="24"/>
      <c r="V37" s="17"/>
      <c r="W37" s="17"/>
      <c r="X37" s="17"/>
      <c r="Y37" s="17"/>
      <c r="Z37" s="17"/>
      <c r="AA37" s="17"/>
      <c r="AB37" s="17"/>
      <c r="AC37" s="17"/>
    </row>
    <row r="38" spans="1:29" x14ac:dyDescent="0.4">
      <c r="A38" s="17"/>
      <c r="B38" s="44" t="s">
        <v>66</v>
      </c>
      <c r="C38" s="44"/>
      <c r="D38" s="44"/>
      <c r="E38" s="44"/>
      <c r="F38" s="42" t="s">
        <v>117</v>
      </c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19" t="s">
        <v>90</v>
      </c>
      <c r="Y38" s="17"/>
      <c r="Z38" s="17"/>
      <c r="AA38" s="17"/>
      <c r="AB38" s="17"/>
      <c r="AC38" s="17"/>
    </row>
    <row r="39" spans="1:29" x14ac:dyDescent="0.4">
      <c r="A39" s="17"/>
      <c r="B39" s="44"/>
      <c r="C39" s="44"/>
      <c r="D39" s="44"/>
      <c r="E39" s="44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19" t="s">
        <v>91</v>
      </c>
      <c r="Y39" s="17"/>
      <c r="Z39" s="17"/>
      <c r="AA39" s="17"/>
      <c r="AB39" s="17"/>
      <c r="AC39" s="17"/>
    </row>
    <row r="40" spans="1:29" x14ac:dyDescent="0.4">
      <c r="A40" s="17"/>
      <c r="B40" s="44"/>
      <c r="C40" s="44"/>
      <c r="D40" s="44"/>
      <c r="E40" s="44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17"/>
      <c r="Y40" s="17"/>
      <c r="Z40" s="17"/>
      <c r="AA40" s="17"/>
      <c r="AB40" s="17"/>
      <c r="AC40" s="17"/>
    </row>
    <row r="41" spans="1:29" x14ac:dyDescent="0.4">
      <c r="A41" s="17"/>
      <c r="B41" s="44" t="s">
        <v>67</v>
      </c>
      <c r="C41" s="44"/>
      <c r="D41" s="44"/>
      <c r="E41" s="44"/>
      <c r="F41" s="43" t="s">
        <v>118</v>
      </c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17"/>
      <c r="Y41" s="17"/>
      <c r="Z41" s="17"/>
      <c r="AA41" s="17"/>
      <c r="AB41" s="17"/>
      <c r="AC41" s="17"/>
    </row>
    <row r="42" spans="1:29" x14ac:dyDescent="0.4">
      <c r="A42" s="17"/>
      <c r="B42" s="44"/>
      <c r="C42" s="44"/>
      <c r="D42" s="44"/>
      <c r="E42" s="44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17"/>
      <c r="Y42" s="17"/>
      <c r="Z42" s="17"/>
      <c r="AA42" s="17"/>
      <c r="AB42" s="17"/>
      <c r="AC42" s="17"/>
    </row>
    <row r="43" spans="1:29" x14ac:dyDescent="0.4">
      <c r="A43" s="17"/>
      <c r="B43" s="44"/>
      <c r="C43" s="44"/>
      <c r="D43" s="44"/>
      <c r="E43" s="44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17"/>
      <c r="Y43" s="17"/>
      <c r="Z43" s="17"/>
      <c r="AA43" s="17"/>
      <c r="AB43" s="17"/>
      <c r="AC43" s="17"/>
    </row>
    <row r="44" spans="1:29" x14ac:dyDescent="0.4">
      <c r="A44" s="17"/>
      <c r="B44" s="23" t="s">
        <v>121</v>
      </c>
      <c r="C44" s="23"/>
      <c r="D44" s="23"/>
      <c r="E44" s="23"/>
      <c r="F44" s="24" t="s">
        <v>107</v>
      </c>
      <c r="G44" s="24"/>
      <c r="H44" s="24"/>
      <c r="I44" s="24"/>
      <c r="J44" s="24"/>
      <c r="K44" s="24"/>
      <c r="L44" s="23" t="s">
        <v>93</v>
      </c>
      <c r="M44" s="23"/>
      <c r="N44" s="23"/>
      <c r="O44" s="23"/>
      <c r="P44" s="24">
        <v>44706</v>
      </c>
      <c r="Q44" s="24"/>
      <c r="R44" s="24"/>
      <c r="S44" s="24"/>
      <c r="T44" s="24"/>
      <c r="U44" s="24"/>
      <c r="V44" s="17"/>
      <c r="W44" s="17"/>
      <c r="X44" s="17"/>
      <c r="Y44" s="17"/>
      <c r="Z44" s="17"/>
      <c r="AA44" s="17"/>
      <c r="AB44" s="17"/>
      <c r="AC44" s="17"/>
    </row>
    <row r="45" spans="1:29" x14ac:dyDescent="0.4">
      <c r="A45" s="17"/>
      <c r="B45" s="44" t="s">
        <v>122</v>
      </c>
      <c r="C45" s="44"/>
      <c r="D45" s="44"/>
      <c r="E45" s="44"/>
      <c r="F45" s="42" t="s">
        <v>119</v>
      </c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17"/>
      <c r="Y45" s="17"/>
      <c r="Z45" s="17"/>
      <c r="AA45" s="17"/>
      <c r="AB45" s="17"/>
      <c r="AC45" s="17"/>
    </row>
    <row r="46" spans="1:29" x14ac:dyDescent="0.4">
      <c r="A46" s="17"/>
      <c r="B46" s="44"/>
      <c r="C46" s="44"/>
      <c r="D46" s="44"/>
      <c r="E46" s="44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17"/>
      <c r="Y46" s="17"/>
      <c r="Z46" s="17"/>
      <c r="AA46" s="17"/>
      <c r="AB46" s="17"/>
      <c r="AC46" s="17"/>
    </row>
    <row r="47" spans="1:29" x14ac:dyDescent="0.4">
      <c r="A47" s="17"/>
      <c r="B47" s="44"/>
      <c r="C47" s="44"/>
      <c r="D47" s="44"/>
      <c r="E47" s="44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17"/>
      <c r="Y47" s="17"/>
      <c r="Z47" s="17"/>
      <c r="AA47" s="17"/>
      <c r="AB47" s="17"/>
      <c r="AC47" s="17"/>
    </row>
  </sheetData>
  <sheetProtection formatRows="0"/>
  <mergeCells count="59">
    <mergeCell ref="B45:E47"/>
    <mergeCell ref="F45:W47"/>
    <mergeCell ref="B41:E43"/>
    <mergeCell ref="F41:W43"/>
    <mergeCell ref="F9:K9"/>
    <mergeCell ref="F30:W32"/>
    <mergeCell ref="B23:E23"/>
    <mergeCell ref="F23:K23"/>
    <mergeCell ref="B25:E25"/>
    <mergeCell ref="F25:K25"/>
    <mergeCell ref="L25:P25"/>
    <mergeCell ref="Q25:W25"/>
    <mergeCell ref="B22:E22"/>
    <mergeCell ref="F22:K22"/>
    <mergeCell ref="B11:E11"/>
    <mergeCell ref="F11:W11"/>
    <mergeCell ref="F37:K37"/>
    <mergeCell ref="B26:E28"/>
    <mergeCell ref="F26:W28"/>
    <mergeCell ref="B29:E29"/>
    <mergeCell ref="F29:K29"/>
    <mergeCell ref="B30:E32"/>
    <mergeCell ref="B7:E7"/>
    <mergeCell ref="F7:K7"/>
    <mergeCell ref="N7:Q7"/>
    <mergeCell ref="R7:W7"/>
    <mergeCell ref="W5:AB5"/>
    <mergeCell ref="B9:E9"/>
    <mergeCell ref="B44:E44"/>
    <mergeCell ref="F44:K44"/>
    <mergeCell ref="B12:E14"/>
    <mergeCell ref="F12:W14"/>
    <mergeCell ref="B15:E17"/>
    <mergeCell ref="F15:W17"/>
    <mergeCell ref="L37:O37"/>
    <mergeCell ref="P37:U37"/>
    <mergeCell ref="B38:E40"/>
    <mergeCell ref="F38:W40"/>
    <mergeCell ref="B35:E35"/>
    <mergeCell ref="F35:K35"/>
    <mergeCell ref="B36:E36"/>
    <mergeCell ref="F36:K36"/>
    <mergeCell ref="B37:E37"/>
    <mergeCell ref="L44:O44"/>
    <mergeCell ref="P44:U44"/>
    <mergeCell ref="A1:AC2"/>
    <mergeCell ref="B4:E4"/>
    <mergeCell ref="F4:N4"/>
    <mergeCell ref="S4:V4"/>
    <mergeCell ref="W4:AB4"/>
    <mergeCell ref="S5:V5"/>
    <mergeCell ref="B19:E19"/>
    <mergeCell ref="F19:J19"/>
    <mergeCell ref="B10:E10"/>
    <mergeCell ref="F10:N10"/>
    <mergeCell ref="O10:R10"/>
    <mergeCell ref="S10:W10"/>
    <mergeCell ref="B18:E18"/>
    <mergeCell ref="F18:J18"/>
  </mergeCells>
  <phoneticPr fontId="3"/>
  <pageMargins left="0.7" right="0.7" top="0.75" bottom="0.75" header="0.3" footer="0.3"/>
  <pageSetup paperSize="9" scale="76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8" r:id="rId4" name="WithdrawalButton">
          <controlPr defaultSize="0" autoLine="0" autoPict="0" r:id="rId5">
            <anchor moveWithCells="1">
              <from>
                <xdr:col>23</xdr:col>
                <xdr:colOff>266700</xdr:colOff>
                <xdr:row>9</xdr:row>
                <xdr:rowOff>114300</xdr:rowOff>
              </from>
              <to>
                <xdr:col>27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1028" r:id="rId4" name="WithdrawalButton"/>
      </mc:Fallback>
    </mc:AlternateContent>
    <mc:AlternateContent xmlns:mc="http://schemas.openxmlformats.org/markup-compatibility/2006">
      <mc:Choice Requires="x14">
        <control shapeId="1027" r:id="rId6" name="UpdateButton">
          <controlPr defaultSize="0" autoLine="0" autoPict="0" r:id="rId7">
            <anchor moveWithCells="1">
              <from>
                <xdr:col>24</xdr:col>
                <xdr:colOff>0</xdr:colOff>
                <xdr:row>7</xdr:row>
                <xdr:rowOff>104775</xdr:rowOff>
              </from>
              <to>
                <xdr:col>27</xdr:col>
                <xdr:colOff>266700</xdr:colOff>
                <xdr:row>9</xdr:row>
                <xdr:rowOff>0</xdr:rowOff>
              </to>
            </anchor>
          </controlPr>
        </control>
      </mc:Choice>
      <mc:Fallback>
        <control shapeId="1027" r:id="rId6" name="UpdateButton"/>
      </mc:Fallback>
    </mc:AlternateContent>
    <mc:AlternateContent xmlns:mc="http://schemas.openxmlformats.org/markup-compatibility/2006">
      <mc:Choice Requires="x14">
        <control shapeId="1026" r:id="rId8" name="DraftButton">
          <controlPr defaultSize="0" autoFill="0" autoLine="0" autoPict="0" r:id="rId9">
            <anchor moveWithCells="1">
              <from>
                <xdr:col>23</xdr:col>
                <xdr:colOff>266700</xdr:colOff>
                <xdr:row>5</xdr:row>
                <xdr:rowOff>85725</xdr:rowOff>
              </from>
              <to>
                <xdr:col>27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1026" r:id="rId8" name="Draf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7DDA2819-6AC5-437D-8FC1-7DF7C94AC225}">
          <x14:formula1>
            <xm:f>設定シート!$B$17</xm:f>
          </x14:formula1>
          <xm:sqref>F4:N4</xm:sqref>
        </x14:dataValidation>
        <x14:dataValidation type="list" allowBlank="1" showInputMessage="1" showErrorMessage="1" xr:uid="{67A9CE58-966F-4746-9248-9338DF901C21}">
          <x14:formula1>
            <xm:f>設定シート!$F$17:$F$21</xm:f>
          </x14:formula1>
          <xm:sqref>F9</xm:sqref>
        </x14:dataValidation>
        <x14:dataValidation type="list" allowBlank="1" showInputMessage="1" showErrorMessage="1" xr:uid="{B13D24C7-975F-452E-895C-34A798558D9E}">
          <x14:formula1>
            <xm:f>設定シート!$H$17:$H$30</xm:f>
          </x14:formula1>
          <xm:sqref>Q25:W25</xm:sqref>
        </x14:dataValidation>
        <x14:dataValidation type="list" allowBlank="1" showInputMessage="1" showErrorMessage="1" xr:uid="{74E6F3FB-9A7A-4AC6-B724-C96BC3702E3C}">
          <x14:formula1>
            <xm:f>設定シート!$I$17:$I$30</xm:f>
          </x14:formula1>
          <xm:sqref>F29:K29</xm:sqref>
        </x14:dataValidation>
        <x14:dataValidation type="list" allowBlank="1" showInputMessage="1" showErrorMessage="1" xr:uid="{BA893D29-D792-4B71-A37D-FB81527E273C}">
          <x14:formula1>
            <xm:f>設定シート!$E$17:$E$22</xm:f>
          </x14:formula1>
          <xm:sqref>W5</xm:sqref>
        </x14:dataValidation>
        <x14:dataValidation type="list" allowBlank="1" showInputMessage="1" showErrorMessage="1" xr:uid="{AB6FB53F-459F-498B-AF44-AC178137C3E6}">
          <x14:formula1>
            <xm:f>設定シート!$D$17:$D$30</xm:f>
          </x14:formula1>
          <xm:sqref>S10:W10</xm:sqref>
        </x14:dataValidation>
        <x14:dataValidation type="list" allowBlank="1" showInputMessage="1" showErrorMessage="1" xr:uid="{5BB13B47-ACCE-4F25-85AB-DDD6CBDFBCC7}">
          <x14:formula1>
            <xm:f>設定シート!$C$17:$C$50</xm:f>
          </x14:formula1>
          <xm:sqref>F10:N10</xm:sqref>
        </x14:dataValidation>
        <x14:dataValidation type="list" allowBlank="1" showInputMessage="1" showErrorMessage="1" xr:uid="{9E75F822-2274-4BCC-BAB5-B95C275A5B12}">
          <x14:formula1>
            <xm:f>設定シート!$G$17:$G$30</xm:f>
          </x14:formula1>
          <xm:sqref>F25:K25</xm:sqref>
        </x14:dataValidation>
        <x14:dataValidation type="list" allowBlank="1" showInputMessage="1" showErrorMessage="1" xr:uid="{DC2AF22B-576A-48A2-96A5-6C3D453CBC23}">
          <x14:formula1>
            <xm:f>設定シート!$J$17:$J$30</xm:f>
          </x14:formula1>
          <xm:sqref>F35:K35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70F9D-85DE-4ACE-8643-10B1D5B46D31}">
  <sheetPr codeName="Sheet3"/>
  <dimension ref="A1"/>
  <sheetViews>
    <sheetView topLeftCell="A4" workbookViewId="0">
      <selection activeCell="B5" sqref="B5"/>
    </sheetView>
  </sheetViews>
  <sheetFormatPr defaultRowHeight="18.75" x14ac:dyDescent="0.4"/>
  <sheetData/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9C9CD-3E92-4B60-A057-9984B60D160D}">
  <sheetPr codeName="Sheet4"/>
  <dimension ref="A1"/>
  <sheetViews>
    <sheetView workbookViewId="0"/>
  </sheetViews>
  <sheetFormatPr defaultRowHeight="18.75" x14ac:dyDescent="0.4"/>
  <sheetData/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C8DB-15B1-43B4-A3FE-FA1F7D8DF3FF}">
  <sheetPr codeName="Sheet2"/>
  <dimension ref="A1:J26"/>
  <sheetViews>
    <sheetView topLeftCell="A10" workbookViewId="0">
      <selection activeCell="J22" sqref="J22"/>
    </sheetView>
  </sheetViews>
  <sheetFormatPr defaultRowHeight="18.75" x14ac:dyDescent="0.4"/>
  <cols>
    <col min="1" max="1" width="3.875" customWidth="1"/>
    <col min="2" max="2" width="12.875" customWidth="1"/>
    <col min="3" max="3" width="11.125" customWidth="1"/>
    <col min="4" max="4" width="13" bestFit="1" customWidth="1"/>
    <col min="5" max="5" width="15.125" bestFit="1" customWidth="1"/>
    <col min="6" max="6" width="13" bestFit="1" customWidth="1"/>
    <col min="7" max="8" width="19.25" bestFit="1" customWidth="1"/>
    <col min="9" max="10" width="15.125" bestFit="1" customWidth="1"/>
  </cols>
  <sheetData>
    <row r="1" spans="1:10" x14ac:dyDescent="0.4">
      <c r="A1" t="s">
        <v>83</v>
      </c>
    </row>
    <row r="2" spans="1:10" x14ac:dyDescent="0.4">
      <c r="B2" s="20" t="s">
        <v>82</v>
      </c>
      <c r="C2" t="str">
        <f>故障票!F4</f>
        <v>●●PJ_強化試験</v>
      </c>
    </row>
    <row r="4" spans="1:10" x14ac:dyDescent="0.4">
      <c r="A4" t="s">
        <v>70</v>
      </c>
    </row>
    <row r="5" spans="1:10" x14ac:dyDescent="0.4">
      <c r="B5" s="21" t="s">
        <v>72</v>
      </c>
      <c r="C5" t="s">
        <v>73</v>
      </c>
    </row>
    <row r="6" spans="1:10" x14ac:dyDescent="0.4">
      <c r="B6" s="2" t="s">
        <v>81</v>
      </c>
      <c r="C6" t="str">
        <f>"["&amp;B17&amp;"]"&amp;"故障管理表.xlsx"</f>
        <v>[●●PJ_強化試験]故障管理表.xlsx</v>
      </c>
    </row>
    <row r="7" spans="1:10" x14ac:dyDescent="0.4">
      <c r="B7" s="2" t="s">
        <v>76</v>
      </c>
      <c r="C7" t="str">
        <f>IF(RIGHT($C$5,1)="\",$C$5&amp;"00_管理",$C$5&amp;"\00_管理")</f>
        <v>C:\Users\user\Desktop\故障管理表\00_管理</v>
      </c>
    </row>
    <row r="8" spans="1:10" x14ac:dyDescent="0.4">
      <c r="B8" s="2" t="s">
        <v>71</v>
      </c>
      <c r="C8" t="str">
        <f>IF(RIGHT($C$5,1)="\",$C$5&amp;"00_管理",$C$5&amp;"\01_起票")</f>
        <v>C:\Users\user\Desktop\故障管理表\01_起票</v>
      </c>
    </row>
    <row r="9" spans="1:10" x14ac:dyDescent="0.4">
      <c r="B9" s="2" t="s">
        <v>32</v>
      </c>
      <c r="C9" t="str">
        <f>IF(RIGHT($C$5,1)="\",$C$5&amp;"00_管理",$C$5&amp;"\02_対応中")</f>
        <v>C:\Users\user\Desktop\故障管理表\02_対応中</v>
      </c>
    </row>
    <row r="10" spans="1:10" x14ac:dyDescent="0.4">
      <c r="B10" s="2" t="s">
        <v>77</v>
      </c>
      <c r="C10" t="str">
        <f>IF(RIGHT($C$5,1)="\",$C$5&amp;"00_管理",$C$5&amp;"\03_起票者確認待ち")</f>
        <v>C:\Users\user\Desktop\故障管理表\03_起票者確認待ち</v>
      </c>
    </row>
    <row r="11" spans="1:10" x14ac:dyDescent="0.4">
      <c r="B11" s="2" t="s">
        <v>78</v>
      </c>
      <c r="C11" t="str">
        <f>IF(RIGHT($C$5,1)="\",$C$5&amp;"00_管理",$C$5&amp;"\04_完了")</f>
        <v>C:\Users\user\Desktop\故障管理表\04_完了</v>
      </c>
    </row>
    <row r="12" spans="1:10" x14ac:dyDescent="0.4">
      <c r="B12" s="2" t="s">
        <v>79</v>
      </c>
      <c r="C12" t="str">
        <f>IF(RIGHT($C$5,1)="\",$C$5&amp;"00_管理",$C$5&amp;"\05_取下げ")</f>
        <v>C:\Users\user\Desktop\故障管理表\05_取下げ</v>
      </c>
    </row>
    <row r="13" spans="1:10" x14ac:dyDescent="0.4">
      <c r="B13" s="2" t="s">
        <v>92</v>
      </c>
      <c r="C13" t="str">
        <f>IF(RIGHT($C$5,1)="\",$C$5&amp;"00_管理",$C$5&amp;"\10_故障票履歴")</f>
        <v>C:\Users\user\Desktop\故障管理表\10_故障票履歴</v>
      </c>
    </row>
    <row r="15" spans="1:10" x14ac:dyDescent="0.4">
      <c r="A15" t="s">
        <v>69</v>
      </c>
    </row>
    <row r="16" spans="1:10" x14ac:dyDescent="0.4">
      <c r="B16" s="21" t="s">
        <v>80</v>
      </c>
      <c r="C16" s="22" t="s">
        <v>99</v>
      </c>
      <c r="D16" s="2" t="s">
        <v>25</v>
      </c>
      <c r="E16" s="2" t="s">
        <v>30</v>
      </c>
      <c r="F16" s="2" t="s">
        <v>35</v>
      </c>
      <c r="G16" s="2" t="s">
        <v>41</v>
      </c>
      <c r="H16" s="2" t="s">
        <v>48</v>
      </c>
      <c r="I16" s="2" t="s">
        <v>50</v>
      </c>
      <c r="J16" s="2" t="s">
        <v>21</v>
      </c>
    </row>
    <row r="17" spans="2:10" x14ac:dyDescent="0.4">
      <c r="B17" s="1" t="s">
        <v>106</v>
      </c>
      <c r="C17" t="s">
        <v>100</v>
      </c>
      <c r="D17" t="s">
        <v>95</v>
      </c>
      <c r="E17" t="s">
        <v>31</v>
      </c>
      <c r="F17" t="s">
        <v>36</v>
      </c>
      <c r="G17" t="s">
        <v>42</v>
      </c>
      <c r="H17" t="s">
        <v>36</v>
      </c>
      <c r="I17" t="s">
        <v>51</v>
      </c>
      <c r="J17" t="s">
        <v>61</v>
      </c>
    </row>
    <row r="18" spans="2:10" x14ac:dyDescent="0.4">
      <c r="C18" t="s">
        <v>101</v>
      </c>
      <c r="D18" t="s">
        <v>26</v>
      </c>
      <c r="E18" t="s">
        <v>32</v>
      </c>
      <c r="F18" t="s">
        <v>37</v>
      </c>
      <c r="G18" t="s">
        <v>43</v>
      </c>
      <c r="H18" t="s">
        <v>37</v>
      </c>
      <c r="I18" t="s">
        <v>52</v>
      </c>
      <c r="J18" t="s">
        <v>116</v>
      </c>
    </row>
    <row r="19" spans="2:10" x14ac:dyDescent="0.4">
      <c r="C19" t="s">
        <v>102</v>
      </c>
      <c r="D19" t="s">
        <v>27</v>
      </c>
      <c r="E19" t="s">
        <v>33</v>
      </c>
      <c r="F19" t="s">
        <v>38</v>
      </c>
      <c r="G19" t="s">
        <v>44</v>
      </c>
      <c r="H19" t="s">
        <v>49</v>
      </c>
      <c r="I19" t="s">
        <v>53</v>
      </c>
      <c r="J19" t="s">
        <v>63</v>
      </c>
    </row>
    <row r="20" spans="2:10" x14ac:dyDescent="0.4">
      <c r="C20" t="s">
        <v>103</v>
      </c>
      <c r="D20" t="s">
        <v>98</v>
      </c>
      <c r="E20" t="s">
        <v>60</v>
      </c>
      <c r="F20" t="s">
        <v>39</v>
      </c>
      <c r="G20" t="s">
        <v>45</v>
      </c>
      <c r="H20" t="s">
        <v>120</v>
      </c>
      <c r="I20" t="s">
        <v>54</v>
      </c>
      <c r="J20" t="s">
        <v>62</v>
      </c>
    </row>
    <row r="21" spans="2:10" x14ac:dyDescent="0.4">
      <c r="C21" t="s">
        <v>104</v>
      </c>
      <c r="D21" t="s">
        <v>28</v>
      </c>
      <c r="E21" t="s">
        <v>34</v>
      </c>
      <c r="F21" t="s">
        <v>40</v>
      </c>
      <c r="G21" t="s">
        <v>113</v>
      </c>
      <c r="I21" t="s">
        <v>55</v>
      </c>
      <c r="J21" t="s">
        <v>64</v>
      </c>
    </row>
    <row r="22" spans="2:10" x14ac:dyDescent="0.4">
      <c r="C22" t="s">
        <v>105</v>
      </c>
      <c r="D22" t="s">
        <v>29</v>
      </c>
      <c r="E22" t="s">
        <v>86</v>
      </c>
      <c r="G22" t="s">
        <v>46</v>
      </c>
      <c r="I22" t="s">
        <v>56</v>
      </c>
      <c r="J22" t="s">
        <v>65</v>
      </c>
    </row>
    <row r="23" spans="2:10" x14ac:dyDescent="0.4">
      <c r="G23" t="s">
        <v>47</v>
      </c>
      <c r="I23" t="s">
        <v>57</v>
      </c>
    </row>
    <row r="24" spans="2:10" x14ac:dyDescent="0.4">
      <c r="G24" t="s">
        <v>96</v>
      </c>
      <c r="I24" t="s">
        <v>58</v>
      </c>
    </row>
    <row r="25" spans="2:10" x14ac:dyDescent="0.4">
      <c r="G25" t="s">
        <v>97</v>
      </c>
      <c r="I25" t="s">
        <v>46</v>
      </c>
    </row>
    <row r="26" spans="2:10" x14ac:dyDescent="0.4">
      <c r="I26" t="s">
        <v>59</v>
      </c>
    </row>
  </sheetData>
  <phoneticPr fontId="3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故障票</vt:lpstr>
      <vt:lpstr>故障手順キャプチャ</vt:lpstr>
      <vt:lpstr>修正後確認キャプチャ</vt:lpstr>
      <vt:lpstr>設定シート</vt:lpstr>
      <vt:lpstr>故障票!Print_Area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2022-10-29T12:41:53Z</cp:lastPrinted>
  <dcterms:created xsi:type="dcterms:W3CDTF">2022-05-22T11:58:23Z</dcterms:created>
  <dcterms:modified xsi:type="dcterms:W3CDTF">2022-11-21T12:06:41Z</dcterms:modified>
</cp:coreProperties>
</file>